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<sst xmlns="http://schemas.openxmlformats.org/spreadsheetml/2006/main" count="226" uniqueCount="103">
  <si>
    <t>Test Incident Report</t>
  </si>
  <si>
    <t>Esecuzione: 2</t>
  </si>
  <si>
    <t>Data Iterazione: 31/12/2025</t>
  </si>
  <si>
    <t>Test Case ID</t>
  </si>
  <si>
    <t>Test Incident ID</t>
  </si>
  <si>
    <t>Tester</t>
  </si>
  <si>
    <t>Data</t>
  </si>
  <si>
    <t>Esecuzione 1</t>
  </si>
  <si>
    <t>Esecuzione 2</t>
  </si>
  <si>
    <t>TC_GCC7_1</t>
  </si>
  <si>
    <t>TI_GCC7_1</t>
  </si>
  <si>
    <t>CG</t>
  </si>
  <si>
    <t>Failed</t>
  </si>
  <si>
    <t>Passed</t>
  </si>
  <si>
    <t>Test Passati</t>
  </si>
  <si>
    <t>Test non passati</t>
  </si>
  <si>
    <t>Percentuale</t>
  </si>
  <si>
    <t>Note</t>
  </si>
  <si>
    <t>TC_GCC7_2</t>
  </si>
  <si>
    <t>TI_GCC7_2</t>
  </si>
  <si>
    <t>TC_GCC7_3</t>
  </si>
  <si>
    <t>TI_GCC7_3</t>
  </si>
  <si>
    <t>TC_GCC7_4</t>
  </si>
  <si>
    <t>TI_GCC7_4</t>
  </si>
  <si>
    <t>TC_GCC7_5</t>
  </si>
  <si>
    <t>TI_GCC7_5</t>
  </si>
  <si>
    <t>TC_GA_1</t>
  </si>
  <si>
    <t>TI_GA_1</t>
  </si>
  <si>
    <t>AP</t>
  </si>
  <si>
    <t>TC_GA_2</t>
  </si>
  <si>
    <t>TI_GA_2</t>
  </si>
  <si>
    <t>TC_GA_3</t>
  </si>
  <si>
    <t>TI_GA_3</t>
  </si>
  <si>
    <t>TC_GA_4</t>
  </si>
  <si>
    <t>TI_GA_4</t>
  </si>
  <si>
    <t>TC_GA_5</t>
  </si>
  <si>
    <t>TI_GA_5</t>
  </si>
  <si>
    <t>TC_GA_6</t>
  </si>
  <si>
    <t>TI_GA_6</t>
  </si>
  <si>
    <t>TC_GA_7</t>
  </si>
  <si>
    <t>TI_GA_7</t>
  </si>
  <si>
    <t>TC_GA_8</t>
  </si>
  <si>
    <t>TI_GA_8</t>
  </si>
  <si>
    <t>TC_GA_9</t>
  </si>
  <si>
    <t>TI_GA_9</t>
  </si>
  <si>
    <t>TC_GA_10</t>
  </si>
  <si>
    <t>TI_GA_10</t>
  </si>
  <si>
    <t>TC_GA_11</t>
  </si>
  <si>
    <t>TI_GA_11</t>
  </si>
  <si>
    <t>TC_GA_12</t>
  </si>
  <si>
    <t>TI_GA_12</t>
  </si>
  <si>
    <t>TC_GCR_2_1</t>
  </si>
  <si>
    <t>TI_GCR_2_1</t>
  </si>
  <si>
    <t>RO</t>
  </si>
  <si>
    <t>TC_GCR_2_2</t>
  </si>
  <si>
    <t>TI_GCR_2_2</t>
  </si>
  <si>
    <t>TC_GCR_2_3</t>
  </si>
  <si>
    <t>TI_GCR_2_3</t>
  </si>
  <si>
    <t>TC_GCR_2_4</t>
  </si>
  <si>
    <t>TI_GCR_2_4</t>
  </si>
  <si>
    <t>TC_GCR_2_5</t>
  </si>
  <si>
    <t>TI_GCR_2_5</t>
  </si>
  <si>
    <t>TC_GCR_2_6</t>
  </si>
  <si>
    <t>TI_GCR_2_6</t>
  </si>
  <si>
    <t>TC_GCR_2_7</t>
  </si>
  <si>
    <t>TI_GCR_2_7</t>
  </si>
  <si>
    <t>TC_GCR_2_8</t>
  </si>
  <si>
    <t>TI_GCR_2_8</t>
  </si>
  <si>
    <t>TC_GCR_2_9</t>
  </si>
  <si>
    <t>TI_GCR_2_9</t>
  </si>
  <si>
    <t>TC_GCR_2_10</t>
  </si>
  <si>
    <t>TI_GCR_2_10</t>
  </si>
  <si>
    <t>TC_GCR_2_11</t>
  </si>
  <si>
    <t>TI_GCR_2_11</t>
  </si>
  <si>
    <t>TC_GCR_2_12</t>
  </si>
  <si>
    <t>TI_GCR_2_12</t>
  </si>
  <si>
    <t>TC_GCR_2_13</t>
  </si>
  <si>
    <t>TI_GCR_2_13</t>
  </si>
  <si>
    <t>TC_GCR_2_14</t>
  </si>
  <si>
    <t>TI_GCR_2_14</t>
  </si>
  <si>
    <t>TC_GCR_2_15</t>
  </si>
  <si>
    <t>TI_GCR_2_15</t>
  </si>
  <si>
    <t>TC_GCR_2_16</t>
  </si>
  <si>
    <t>TI_GCR_2_16</t>
  </si>
  <si>
    <t>TC_GCR_2_17</t>
  </si>
  <si>
    <t>TI_GCR_2_17</t>
  </si>
  <si>
    <t>TC_GCR_2_18</t>
  </si>
  <si>
    <t>TI_GCR_2_18</t>
  </si>
  <si>
    <t>TC_GCR_2_19</t>
  </si>
  <si>
    <t>TI_GCR_2_19</t>
  </si>
  <si>
    <t>TC_GCR_2_20</t>
  </si>
  <si>
    <t>TI_GCR_2_20</t>
  </si>
  <si>
    <t>TC_GCR_2_21</t>
  </si>
  <si>
    <t>TI_GCR_2_21</t>
  </si>
  <si>
    <t>TC_GR_1</t>
  </si>
  <si>
    <t>TI_GR_1</t>
  </si>
  <si>
    <t>BR</t>
  </si>
  <si>
    <t>TC_GR_2</t>
  </si>
  <si>
    <t>TI_GR_2</t>
  </si>
  <si>
    <t>TC_GR_3</t>
  </si>
  <si>
    <t>TI_GR_3</t>
  </si>
  <si>
    <t>TC_GR_4</t>
  </si>
  <si>
    <t>TI_GR_4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</si>
</sst>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"/>
  </numFmts>
  <fonts count="8">
    <font>
      <sz val="10.0"/>
      <color rgb="FF000000"/>
      <name val="Arial"/>
      <scheme val="minor"/>
    </font>
    <font>
      <b/>
      <sz val="18.0"/>
      <color rgb="FF000000"/>
      <name val="Calibri"/>
    </font>
    <font>
      <b/>
      <sz val="11.0"/>
      <color rgb="FF000000"/>
      <name val="Calibri"/>
    </font>
    <font>
      <b/>
      <sz val="12.0"/>
      <color rgb="FFFFFFFF"/>
      <name val="Calibri"/>
    </font>
    <font>
      <sz val="12.0"/>
      <color rgb="FFFFFFFF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1.0"/>
      <color rgb="FFFFFFFF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2F75B5"/>
        <bgColor rgb="FF2F75B5"/>
      </patternFill>
    </fill>
    <fill>
      <patternFill patternType="solid">
        <fgColor rgb="FFB4C6E7"/>
        <bgColor rgb="FFB4C6E7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10">
    <border/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0"/>
    </xf>
    <xf borderId="0" fillId="2" fontId="2" numFmtId="0" xfId="0" applyAlignment="1" applyFont="1">
      <alignment readingOrder="0" shrinkToFit="0" wrapText="0"/>
    </xf>
    <xf borderId="1" fillId="3" fontId="3" numFmtId="0" xfId="0" applyAlignment="1" applyBorder="1" applyFill="1" applyFont="1">
      <alignment horizontal="center" readingOrder="0" shrinkToFit="0" wrapText="0"/>
    </xf>
    <xf borderId="2" fillId="3" fontId="3" numFmtId="0" xfId="0" applyAlignment="1" applyBorder="1" applyFont="1">
      <alignment horizontal="center" readingOrder="0" shrinkToFit="0" wrapText="0"/>
    </xf>
    <xf borderId="3" fillId="3" fontId="3" numFmtId="0" xfId="0" applyAlignment="1" applyBorder="1" applyFont="1">
      <alignment horizontal="center" readingOrder="0" vertical="bottom"/>
    </xf>
    <xf borderId="3" fillId="3" fontId="3" numFmtId="0" xfId="0" applyAlignment="1" applyBorder="1" applyFont="1">
      <alignment horizontal="center" readingOrder="0" shrinkToFit="0" wrapText="0"/>
    </xf>
    <xf borderId="4" fillId="3" fontId="4" numFmtId="0" xfId="0" applyAlignment="1" applyBorder="1" applyFont="1">
      <alignment horizontal="center" readingOrder="0" shrinkToFit="0" wrapText="0"/>
    </xf>
    <xf borderId="5" fillId="3" fontId="4" numFmtId="0" xfId="0" applyAlignment="1" applyBorder="1" applyFont="1">
      <alignment horizontal="center" readingOrder="0" shrinkToFit="0" wrapText="0"/>
    </xf>
    <xf borderId="5" fillId="4" fontId="5" numFmtId="0" xfId="0" applyAlignment="1" applyBorder="1" applyFill="1" applyFont="1">
      <alignment readingOrder="0" shrinkToFit="0" wrapText="0"/>
    </xf>
    <xf borderId="5" fillId="4" fontId="5" numFmtId="164" xfId="0" applyAlignment="1" applyBorder="1" applyFont="1" applyNumberFormat="1">
      <alignment horizontal="right" readingOrder="0" shrinkToFit="0" wrapText="0"/>
    </xf>
    <xf borderId="6" fillId="4" fontId="6" numFmtId="0" xfId="0" applyAlignment="1" applyBorder="1" applyFont="1">
      <alignment horizontal="center" readingOrder="0" vertical="bottom"/>
    </xf>
    <xf borderId="6" fillId="4" fontId="5" numFmtId="0" xfId="0" applyAlignment="1" applyBorder="1" applyFont="1">
      <alignment horizontal="center" readingOrder="0" shrinkToFit="0" wrapText="0"/>
    </xf>
    <xf borderId="1" fillId="5" fontId="7" numFmtId="0" xfId="0" applyAlignment="1" applyBorder="1" applyFill="1" applyFont="1">
      <alignment readingOrder="0" shrinkToFit="0" wrapText="0"/>
    </xf>
    <xf borderId="2" fillId="5" fontId="7" numFmtId="0" xfId="0" applyAlignment="1" applyBorder="1" applyFont="1">
      <alignment readingOrder="0" shrinkToFit="0" wrapText="0"/>
    </xf>
    <xf borderId="3" fillId="5" fontId="7" numFmtId="0" xfId="0" applyAlignment="1" applyBorder="1" applyFont="1">
      <alignment readingOrder="0" shrinkToFit="0" wrapText="0"/>
    </xf>
    <xf borderId="6" fillId="6" fontId="6" numFmtId="0" xfId="0" applyAlignment="1" applyBorder="1" applyFill="1" applyFont="1">
      <alignment horizontal="center" readingOrder="0" vertical="bottom"/>
    </xf>
    <xf borderId="6" fillId="6" fontId="5" numFmtId="0" xfId="0" applyAlignment="1" applyBorder="1" applyFont="1">
      <alignment horizontal="center" readingOrder="0" shrinkToFit="0" wrapText="0"/>
    </xf>
    <xf borderId="7" fillId="4" fontId="5" numFmtId="0" xfId="0" applyAlignment="1" applyBorder="1" applyFont="1">
      <alignment horizontal="right" readingOrder="0" shrinkToFit="0" wrapText="0"/>
    </xf>
    <xf borderId="8" fillId="4" fontId="5" numFmtId="0" xfId="0" applyAlignment="1" applyBorder="1" applyFont="1">
      <alignment horizontal="right" readingOrder="0" shrinkToFit="0" wrapText="0"/>
    </xf>
    <xf borderId="9" fillId="4" fontId="5" numFmtId="9" xfId="0" applyAlignment="1" applyBorder="1" applyFont="1" applyNumberFormat="1">
      <alignment readingOrder="0" shrinkToFit="0" wrapText="0"/>
    </xf>
    <xf borderId="9" fillId="4" fontId="5" numFmtId="0" xfId="0" applyAlignment="1" applyBorder="1" applyFont="1">
      <alignment readingOrder="0" shrinkToFit="0" wrapText="0"/>
    </xf>
    <xf borderId="5" fillId="6" fontId="5" numFmtId="164" xfId="0" applyAlignment="1" applyBorder="1" applyFont="1" applyNumberFormat="1">
      <alignment horizontal="right" readingOrder="0" shrinkToFit="0" wrapText="0"/>
    </xf>
    <xf borderId="6" fillId="6" fontId="6" numFmtId="164" xfId="0" applyAlignment="1" applyBorder="1" applyFont="1" applyNumberFormat="1">
      <alignment horizontal="center" vertical="bottom"/>
    </xf>
    <xf borderId="5" fillId="6" fontId="5" numFmtId="0" xfId="0" applyAlignment="1" applyBorder="1" applyFont="1">
      <alignment readingOrder="0" shrinkToFit="0" wrapText="0"/>
    </xf>
    <xf borderId="6" fillId="4" fontId="6" numFmtId="164" xfId="0" applyAlignment="1" applyBorder="1" applyFont="1" applyNumberFormat="1">
      <alignment horizontal="center" vertical="bottom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>
        <color rgb="FFFFFFFF"/>
      </font>
      <fill>
        <patternFill patternType="solid">
          <fgColor rgb="FFCC0000"/>
          <bgColor rgb="FFCC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3.13"/>
  </cols>
  <sheetData>
    <row r="1">
      <c r="A1" s="1" t="s">
        <v>0</v>
      </c>
      <c r="C1" s="2" t="s">
        <v>1</v>
      </c>
      <c r="D1" s="2" t="s">
        <v>2</v>
      </c>
    </row>
    <row r="2">
      <c r="A2" s="3" t="s">
        <v>3</v>
      </c>
      <c r="B2" s="4" t="s">
        <v>4</v>
      </c>
      <c r="C2" s="4" t="s">
        <v>5</v>
      </c>
      <c r="D2" s="4" t="s">
        <v>6</v>
      </c>
      <c r="E2" s="5" t="s">
        <v>7</v>
      </c>
      <c r="F2" s="4" t="s">
        <v>6</v>
      </c>
      <c r="G2" s="6" t="s">
        <v>8</v>
      </c>
    </row>
    <row r="3">
      <c r="A3" s="7" t="s">
        <v>9</v>
      </c>
      <c r="B3" s="8" t="s">
        <v>10</v>
      </c>
      <c r="C3" s="9" t="s">
        <v>11</v>
      </c>
      <c r="D3" s="10">
        <v>46022.0</v>
      </c>
      <c r="E3" s="11" t="s">
        <v>12</v>
      </c>
      <c r="F3" s="10">
        <v>46022.0</v>
      </c>
      <c r="G3" s="12" t="s">
        <v>13</v>
      </c>
      <c r="J3" s="13" t="s">
        <v>14</v>
      </c>
      <c r="K3" s="14" t="s">
        <v>15</v>
      </c>
      <c r="L3" s="15" t="s">
        <v>16</v>
      </c>
      <c r="M3" s="15" t="s">
        <v>17</v>
      </c>
    </row>
    <row r="4">
      <c r="A4" s="7" t="s">
        <v>18</v>
      </c>
      <c r="B4" s="8" t="s">
        <v>19</v>
      </c>
      <c r="C4" s="9" t="s">
        <v>11</v>
      </c>
      <c r="D4" s="10">
        <v>46022.0</v>
      </c>
      <c r="E4" s="16" t="s">
        <v>12</v>
      </c>
      <c r="F4" s="10">
        <v>46022.0</v>
      </c>
      <c r="G4" s="17" t="s">
        <v>13</v>
      </c>
      <c r="J4" s="18">
        <f>COUNTIF($E3:$E44, "Passed")</f>
        <v>36</v>
      </c>
      <c r="K4" s="19">
        <f>COUNTIF($E3:$E44, "Failed")</f>
        <v>6</v>
      </c>
      <c r="L4" s="20">
        <f t="shared" ref="L4:L5" si="1">J4/(J4 +K4)</f>
        <v>0.8571428571</v>
      </c>
      <c r="M4" s="21" t="s">
        <v>7</v>
      </c>
    </row>
    <row r="5">
      <c r="A5" s="7" t="s">
        <v>20</v>
      </c>
      <c r="B5" s="8" t="s">
        <v>21</v>
      </c>
      <c r="C5" s="9" t="s">
        <v>11</v>
      </c>
      <c r="D5" s="10">
        <v>46022.0</v>
      </c>
      <c r="E5" s="11" t="s">
        <v>12</v>
      </c>
      <c r="F5" s="10">
        <v>46022.0</v>
      </c>
      <c r="G5" s="12" t="s">
        <v>13</v>
      </c>
      <c r="J5" s="18">
        <f>COUNTIF(G3:G44, "Passed")</f>
        <v>42</v>
      </c>
      <c r="K5" s="19">
        <f>COUNTIF($G3:$G45, "Failed")</f>
        <v>0</v>
      </c>
      <c r="L5" s="20">
        <f t="shared" si="1"/>
        <v>1</v>
      </c>
      <c r="M5" s="21" t="s">
        <v>8</v>
      </c>
    </row>
    <row r="6">
      <c r="A6" s="7" t="s">
        <v>22</v>
      </c>
      <c r="B6" s="8" t="s">
        <v>23</v>
      </c>
      <c r="C6" s="9" t="s">
        <v>11</v>
      </c>
      <c r="D6" s="22">
        <v>46022.0</v>
      </c>
      <c r="E6" s="23" t="s">
        <v>13</v>
      </c>
      <c r="F6" s="22">
        <v>46022.0</v>
      </c>
      <c r="G6" s="17" t="s">
        <v>13</v>
      </c>
    </row>
    <row r="7">
      <c r="A7" s="7" t="s">
        <v>24</v>
      </c>
      <c r="B7" s="8" t="s">
        <v>25</v>
      </c>
      <c r="C7" s="9" t="s">
        <v>11</v>
      </c>
      <c r="D7" s="10">
        <v>46022.0</v>
      </c>
      <c r="E7" s="11" t="s">
        <v>12</v>
      </c>
      <c r="F7" s="10">
        <v>46022.0</v>
      </c>
      <c r="G7" s="12" t="s">
        <v>13</v>
      </c>
    </row>
    <row r="8">
      <c r="A8" s="7" t="s">
        <v>26</v>
      </c>
      <c r="B8" s="8" t="s">
        <v>27</v>
      </c>
      <c r="C8" s="24" t="s">
        <v>28</v>
      </c>
      <c r="D8" s="22">
        <v>46022.0</v>
      </c>
      <c r="E8" s="23" t="s">
        <v>13</v>
      </c>
      <c r="F8" s="22">
        <v>46022.0</v>
      </c>
      <c r="G8" s="17" t="s">
        <v>13</v>
      </c>
    </row>
    <row r="9">
      <c r="A9" s="7" t="s">
        <v>29</v>
      </c>
      <c r="B9" s="8" t="s">
        <v>30</v>
      </c>
      <c r="C9" s="24" t="s">
        <v>28</v>
      </c>
      <c r="D9" s="10">
        <v>46022.0</v>
      </c>
      <c r="E9" s="25" t="s">
        <v>13</v>
      </c>
      <c r="F9" s="10">
        <v>46022.0</v>
      </c>
      <c r="G9" s="12" t="s">
        <v>13</v>
      </c>
    </row>
    <row r="10">
      <c r="A10" s="7" t="s">
        <v>31</v>
      </c>
      <c r="B10" s="8" t="s">
        <v>32</v>
      </c>
      <c r="C10" s="24" t="s">
        <v>28</v>
      </c>
      <c r="D10" s="22">
        <v>46022.0</v>
      </c>
      <c r="E10" s="16" t="s">
        <v>12</v>
      </c>
      <c r="F10" s="22">
        <v>46022.0</v>
      </c>
      <c r="G10" s="17" t="s">
        <v>13</v>
      </c>
    </row>
    <row r="11">
      <c r="A11" s="7" t="s">
        <v>33</v>
      </c>
      <c r="B11" s="8" t="s">
        <v>34</v>
      </c>
      <c r="C11" s="24" t="s">
        <v>28</v>
      </c>
      <c r="D11" s="10">
        <v>46022.0</v>
      </c>
      <c r="E11" s="25" t="s">
        <v>13</v>
      </c>
      <c r="F11" s="10">
        <v>46022.0</v>
      </c>
      <c r="G11" s="12" t="s">
        <v>13</v>
      </c>
    </row>
    <row r="12">
      <c r="A12" s="7" t="s">
        <v>35</v>
      </c>
      <c r="B12" s="8" t="s">
        <v>36</v>
      </c>
      <c r="C12" s="24" t="s">
        <v>28</v>
      </c>
      <c r="D12" s="22">
        <v>46022.0</v>
      </c>
      <c r="E12" s="16" t="s">
        <v>12</v>
      </c>
      <c r="F12" s="22">
        <v>46022.0</v>
      </c>
      <c r="G12" s="17" t="s">
        <v>13</v>
      </c>
    </row>
    <row r="13">
      <c r="A13" s="7" t="s">
        <v>37</v>
      </c>
      <c r="B13" s="8" t="s">
        <v>38</v>
      </c>
      <c r="C13" s="24" t="s">
        <v>28</v>
      </c>
      <c r="D13" s="10">
        <v>46022.0</v>
      </c>
      <c r="E13" s="25" t="s">
        <v>13</v>
      </c>
      <c r="F13" s="10">
        <v>46022.0</v>
      </c>
      <c r="G13" s="12" t="s">
        <v>13</v>
      </c>
    </row>
    <row r="14">
      <c r="A14" s="7" t="s">
        <v>39</v>
      </c>
      <c r="B14" s="8" t="s">
        <v>40</v>
      </c>
      <c r="C14" s="24" t="s">
        <v>28</v>
      </c>
      <c r="D14" s="22">
        <v>46022.0</v>
      </c>
      <c r="E14" s="23" t="s">
        <v>13</v>
      </c>
      <c r="F14" s="22">
        <v>46022.0</v>
      </c>
      <c r="G14" s="17" t="s">
        <v>13</v>
      </c>
    </row>
    <row r="15">
      <c r="A15" s="7" t="s">
        <v>41</v>
      </c>
      <c r="B15" s="8" t="s">
        <v>42</v>
      </c>
      <c r="C15" s="24" t="s">
        <v>28</v>
      </c>
      <c r="D15" s="10">
        <v>46022.0</v>
      </c>
      <c r="E15" s="25" t="s">
        <v>13</v>
      </c>
      <c r="F15" s="10">
        <v>46022.0</v>
      </c>
      <c r="G15" s="12" t="s">
        <v>13</v>
      </c>
    </row>
    <row r="16">
      <c r="A16" s="7" t="s">
        <v>43</v>
      </c>
      <c r="B16" s="8" t="s">
        <v>44</v>
      </c>
      <c r="C16" s="24" t="s">
        <v>28</v>
      </c>
      <c r="D16" s="22">
        <v>46022.0</v>
      </c>
      <c r="E16" s="23" t="s">
        <v>13</v>
      </c>
      <c r="F16" s="22">
        <v>46022.0</v>
      </c>
      <c r="G16" s="17" t="s">
        <v>13</v>
      </c>
    </row>
    <row r="17">
      <c r="A17" s="7" t="s">
        <v>45</v>
      </c>
      <c r="B17" s="8" t="s">
        <v>46</v>
      </c>
      <c r="C17" s="24" t="s">
        <v>28</v>
      </c>
      <c r="D17" s="10">
        <v>46022.0</v>
      </c>
      <c r="E17" s="25" t="s">
        <v>13</v>
      </c>
      <c r="F17" s="10">
        <v>46022.0</v>
      </c>
      <c r="G17" s="12" t="s">
        <v>13</v>
      </c>
    </row>
    <row r="18">
      <c r="A18" s="7" t="s">
        <v>47</v>
      </c>
      <c r="B18" s="8" t="s">
        <v>48</v>
      </c>
      <c r="C18" s="24" t="s">
        <v>28</v>
      </c>
      <c r="D18" s="22">
        <v>46022.0</v>
      </c>
      <c r="E18" s="23" t="s">
        <v>13</v>
      </c>
      <c r="F18" s="22">
        <v>46022.0</v>
      </c>
      <c r="G18" s="17" t="s">
        <v>13</v>
      </c>
    </row>
    <row r="19">
      <c r="A19" s="7" t="s">
        <v>49</v>
      </c>
      <c r="B19" s="8" t="s">
        <v>50</v>
      </c>
      <c r="C19" s="24" t="s">
        <v>28</v>
      </c>
      <c r="D19" s="10">
        <v>46022.0</v>
      </c>
      <c r="E19" s="25" t="s">
        <v>13</v>
      </c>
      <c r="F19" s="10">
        <v>46022.0</v>
      </c>
      <c r="G19" s="12" t="s">
        <v>13</v>
      </c>
    </row>
    <row r="20">
      <c r="A20" s="7" t="s">
        <v>51</v>
      </c>
      <c r="B20" s="8" t="s">
        <v>52</v>
      </c>
      <c r="C20" s="24" t="s">
        <v>53</v>
      </c>
      <c r="D20" s="22">
        <v>46022.0</v>
      </c>
      <c r="E20" s="23" t="s">
        <v>13</v>
      </c>
      <c r="F20" s="22">
        <v>46022.0</v>
      </c>
      <c r="G20" s="17" t="s">
        <v>13</v>
      </c>
    </row>
    <row r="21">
      <c r="A21" s="7" t="s">
        <v>54</v>
      </c>
      <c r="B21" s="8" t="s">
        <v>55</v>
      </c>
      <c r="C21" s="9" t="s">
        <v>53</v>
      </c>
      <c r="D21" s="10">
        <v>46022.0</v>
      </c>
      <c r="E21" s="25" t="s">
        <v>13</v>
      </c>
      <c r="F21" s="10">
        <v>46022.0</v>
      </c>
      <c r="G21" s="12" t="s">
        <v>13</v>
      </c>
    </row>
    <row r="22">
      <c r="A22" s="7" t="s">
        <v>56</v>
      </c>
      <c r="B22" s="8" t="s">
        <v>57</v>
      </c>
      <c r="C22" s="24" t="s">
        <v>53</v>
      </c>
      <c r="D22" s="22">
        <v>46022.0</v>
      </c>
      <c r="E22" s="23" t="s">
        <v>13</v>
      </c>
      <c r="F22" s="22">
        <v>46022.0</v>
      </c>
      <c r="G22" s="17" t="s">
        <v>13</v>
      </c>
    </row>
    <row r="23">
      <c r="A23" s="7" t="s">
        <v>58</v>
      </c>
      <c r="B23" s="8" t="s">
        <v>59</v>
      </c>
      <c r="C23" s="9" t="s">
        <v>53</v>
      </c>
      <c r="D23" s="10">
        <v>46022.0</v>
      </c>
      <c r="E23" s="25" t="s">
        <v>13</v>
      </c>
      <c r="F23" s="10">
        <v>46022.0</v>
      </c>
      <c r="G23" s="12" t="s">
        <v>13</v>
      </c>
    </row>
    <row r="24">
      <c r="A24" s="7" t="s">
        <v>60</v>
      </c>
      <c r="B24" s="8" t="s">
        <v>61</v>
      </c>
      <c r="C24" s="24" t="s">
        <v>53</v>
      </c>
      <c r="D24" s="22">
        <v>46022.0</v>
      </c>
      <c r="E24" s="23" t="s">
        <v>13</v>
      </c>
      <c r="F24" s="22">
        <v>46022.0</v>
      </c>
      <c r="G24" s="17" t="s">
        <v>13</v>
      </c>
    </row>
    <row r="25">
      <c r="A25" s="7" t="s">
        <v>62</v>
      </c>
      <c r="B25" s="8" t="s">
        <v>63</v>
      </c>
      <c r="C25" s="9" t="s">
        <v>53</v>
      </c>
      <c r="D25" s="10">
        <v>46022.0</v>
      </c>
      <c r="E25" s="25" t="s">
        <v>13</v>
      </c>
      <c r="F25" s="10">
        <v>46022.0</v>
      </c>
      <c r="G25" s="12" t="s">
        <v>13</v>
      </c>
    </row>
    <row r="26">
      <c r="A26" s="7" t="s">
        <v>64</v>
      </c>
      <c r="B26" s="8" t="s">
        <v>65</v>
      </c>
      <c r="C26" s="24" t="s">
        <v>53</v>
      </c>
      <c r="D26" s="22">
        <v>46022.0</v>
      </c>
      <c r="E26" s="23" t="s">
        <v>13</v>
      </c>
      <c r="F26" s="22">
        <v>46022.0</v>
      </c>
      <c r="G26" s="17" t="s">
        <v>13</v>
      </c>
    </row>
    <row r="27">
      <c r="A27" s="7" t="s">
        <v>66</v>
      </c>
      <c r="B27" s="8" t="s">
        <v>67</v>
      </c>
      <c r="C27" s="9" t="s">
        <v>53</v>
      </c>
      <c r="D27" s="10">
        <v>46022.0</v>
      </c>
      <c r="E27" s="25" t="s">
        <v>13</v>
      </c>
      <c r="F27" s="10">
        <v>46022.0</v>
      </c>
      <c r="G27" s="12" t="s">
        <v>13</v>
      </c>
    </row>
    <row r="28">
      <c r="A28" s="7" t="s">
        <v>68</v>
      </c>
      <c r="B28" s="8" t="s">
        <v>69</v>
      </c>
      <c r="C28" s="24" t="s">
        <v>53</v>
      </c>
      <c r="D28" s="22">
        <v>46022.0</v>
      </c>
      <c r="E28" s="23" t="s">
        <v>13</v>
      </c>
      <c r="F28" s="22">
        <v>46022.0</v>
      </c>
      <c r="G28" s="17" t="s">
        <v>13</v>
      </c>
    </row>
    <row r="29">
      <c r="A29" s="7" t="s">
        <v>70</v>
      </c>
      <c r="B29" s="8" t="s">
        <v>71</v>
      </c>
      <c r="C29" s="9" t="s">
        <v>53</v>
      </c>
      <c r="D29" s="10">
        <v>46022.0</v>
      </c>
      <c r="E29" s="25" t="s">
        <v>13</v>
      </c>
      <c r="F29" s="10">
        <v>46022.0</v>
      </c>
      <c r="G29" s="12" t="s">
        <v>13</v>
      </c>
    </row>
    <row r="30">
      <c r="A30" s="7" t="s">
        <v>72</v>
      </c>
      <c r="B30" s="8" t="s">
        <v>73</v>
      </c>
      <c r="C30" s="9" t="s">
        <v>53</v>
      </c>
      <c r="D30" s="22">
        <v>46022.0</v>
      </c>
      <c r="E30" s="23" t="s">
        <v>13</v>
      </c>
      <c r="F30" s="22">
        <v>46022.0</v>
      </c>
      <c r="G30" s="17" t="s">
        <v>13</v>
      </c>
    </row>
    <row r="31">
      <c r="A31" s="7" t="s">
        <v>74</v>
      </c>
      <c r="B31" s="8" t="s">
        <v>75</v>
      </c>
      <c r="C31" s="24" t="s">
        <v>53</v>
      </c>
      <c r="D31" s="10">
        <v>46022.0</v>
      </c>
      <c r="E31" s="25" t="s">
        <v>13</v>
      </c>
      <c r="F31" s="10">
        <v>46022.0</v>
      </c>
      <c r="G31" s="12" t="s">
        <v>13</v>
      </c>
    </row>
    <row r="32">
      <c r="A32" s="7" t="s">
        <v>76</v>
      </c>
      <c r="B32" s="8" t="s">
        <v>77</v>
      </c>
      <c r="C32" s="9" t="s">
        <v>53</v>
      </c>
      <c r="D32" s="22">
        <v>46022.0</v>
      </c>
      <c r="E32" s="23" t="s">
        <v>13</v>
      </c>
      <c r="F32" s="22">
        <v>46022.0</v>
      </c>
      <c r="G32" s="17" t="s">
        <v>13</v>
      </c>
    </row>
    <row r="33">
      <c r="A33" s="7" t="s">
        <v>78</v>
      </c>
      <c r="B33" s="8" t="s">
        <v>79</v>
      </c>
      <c r="C33" s="24" t="s">
        <v>53</v>
      </c>
      <c r="D33" s="10">
        <v>46022.0</v>
      </c>
      <c r="E33" s="23" t="s">
        <v>13</v>
      </c>
      <c r="F33" s="10">
        <v>46022.0</v>
      </c>
      <c r="G33" s="17" t="s">
        <v>13</v>
      </c>
    </row>
    <row r="34">
      <c r="A34" s="7" t="s">
        <v>80</v>
      </c>
      <c r="B34" s="8" t="s">
        <v>81</v>
      </c>
      <c r="C34" s="9" t="s">
        <v>53</v>
      </c>
      <c r="D34" s="22">
        <v>46022.0</v>
      </c>
      <c r="E34" s="25" t="s">
        <v>13</v>
      </c>
      <c r="F34" s="22">
        <v>46022.0</v>
      </c>
      <c r="G34" s="12" t="s">
        <v>13</v>
      </c>
    </row>
    <row r="35">
      <c r="A35" s="7" t="s">
        <v>82</v>
      </c>
      <c r="B35" s="8" t="s">
        <v>83</v>
      </c>
      <c r="C35" s="24" t="s">
        <v>53</v>
      </c>
      <c r="D35" s="10">
        <v>46022.0</v>
      </c>
      <c r="E35" s="23" t="s">
        <v>13</v>
      </c>
      <c r="F35" s="10">
        <v>46022.0</v>
      </c>
      <c r="G35" s="17" t="s">
        <v>13</v>
      </c>
    </row>
    <row r="36">
      <c r="A36" s="7" t="s">
        <v>84</v>
      </c>
      <c r="B36" s="8" t="s">
        <v>85</v>
      </c>
      <c r="C36" s="9" t="s">
        <v>53</v>
      </c>
      <c r="D36" s="22">
        <v>46022.0</v>
      </c>
      <c r="E36" s="23" t="s">
        <v>13</v>
      </c>
      <c r="F36" s="22">
        <v>46022.0</v>
      </c>
      <c r="G36" s="17" t="s">
        <v>13</v>
      </c>
    </row>
    <row r="37">
      <c r="A37" s="7" t="s">
        <v>86</v>
      </c>
      <c r="B37" s="8" t="s">
        <v>87</v>
      </c>
      <c r="C37" s="24" t="s">
        <v>53</v>
      </c>
      <c r="D37" s="10">
        <v>46022.0</v>
      </c>
      <c r="E37" s="25" t="s">
        <v>13</v>
      </c>
      <c r="F37" s="10">
        <v>46022.0</v>
      </c>
      <c r="G37" s="12" t="s">
        <v>13</v>
      </c>
    </row>
    <row r="38">
      <c r="A38" s="7" t="s">
        <v>88</v>
      </c>
      <c r="B38" s="8" t="s">
        <v>89</v>
      </c>
      <c r="C38" s="9" t="s">
        <v>53</v>
      </c>
      <c r="D38" s="22">
        <v>46022.0</v>
      </c>
      <c r="E38" s="23" t="s">
        <v>13</v>
      </c>
      <c r="F38" s="22">
        <v>46022.0</v>
      </c>
      <c r="G38" s="17" t="s">
        <v>13</v>
      </c>
    </row>
    <row r="39">
      <c r="A39" s="7" t="s">
        <v>90</v>
      </c>
      <c r="B39" s="8" t="s">
        <v>91</v>
      </c>
      <c r="C39" s="24" t="s">
        <v>53</v>
      </c>
      <c r="D39" s="10">
        <v>46022.0</v>
      </c>
      <c r="E39" s="25" t="s">
        <v>13</v>
      </c>
      <c r="F39" s="10">
        <v>46022.0</v>
      </c>
      <c r="G39" s="12" t="s">
        <v>13</v>
      </c>
    </row>
    <row r="40">
      <c r="A40" s="7" t="s">
        <v>92</v>
      </c>
      <c r="B40" s="8" t="s">
        <v>93</v>
      </c>
      <c r="C40" s="9" t="s">
        <v>53</v>
      </c>
      <c r="D40" s="22">
        <v>46022.0</v>
      </c>
      <c r="E40" s="23" t="s">
        <v>13</v>
      </c>
      <c r="F40" s="22">
        <v>46022.0</v>
      </c>
      <c r="G40" s="17" t="s">
        <v>13</v>
      </c>
    </row>
    <row r="41">
      <c r="A41" s="7" t="s">
        <v>94</v>
      </c>
      <c r="B41" s="8" t="s">
        <v>95</v>
      </c>
      <c r="C41" s="24" t="s">
        <v>96</v>
      </c>
      <c r="D41" s="22">
        <v>46022.0</v>
      </c>
      <c r="E41" s="23" t="s">
        <v>13</v>
      </c>
      <c r="F41" s="22">
        <v>46022.0</v>
      </c>
      <c r="G41" s="17" t="s">
        <v>13</v>
      </c>
    </row>
    <row r="42">
      <c r="A42" s="7" t="s">
        <v>97</v>
      </c>
      <c r="B42" s="8" t="s">
        <v>98</v>
      </c>
      <c r="C42" s="9" t="s">
        <v>96</v>
      </c>
      <c r="D42" s="10">
        <v>46022.0</v>
      </c>
      <c r="E42" s="25" t="s">
        <v>13</v>
      </c>
      <c r="F42" s="10">
        <v>46022.0</v>
      </c>
      <c r="G42" s="12" t="s">
        <v>13</v>
      </c>
    </row>
    <row r="43">
      <c r="A43" s="7" t="s">
        <v>99</v>
      </c>
      <c r="B43" s="8" t="s">
        <v>100</v>
      </c>
      <c r="C43" s="24" t="s">
        <v>96</v>
      </c>
      <c r="D43" s="22">
        <v>46022.0</v>
      </c>
      <c r="E43" s="23" t="s">
        <v>13</v>
      </c>
      <c r="F43" s="22">
        <v>46022.0</v>
      </c>
      <c r="G43" s="17" t="s">
        <v>13</v>
      </c>
    </row>
    <row r="44">
      <c r="A44" s="7" t="s">
        <v>101</v>
      </c>
      <c r="B44" s="8" t="s">
        <v>102</v>
      </c>
      <c r="C44" s="9" t="s">
        <v>96</v>
      </c>
      <c r="D44" s="10">
        <v>46022.0</v>
      </c>
      <c r="E44" s="25" t="s">
        <v>13</v>
      </c>
      <c r="F44" s="10">
        <v>46022.0</v>
      </c>
      <c r="G44" s="12" t="s">
        <v>13</v>
      </c>
    </row>
  </sheetData>
  <mergeCells count="2">
    <mergeCell ref="A1:B1"/>
    <mergeCell ref="D1:G1"/>
  </mergeCells>
  <conditionalFormatting sqref="L4:L5">
    <cfRule type="notContainsBlanks" dxfId="0" priority="1">
      <formula>LEN(TRIM(L4))&gt;0</formula>
    </cfRule>
  </conditionalFormatting>
  <conditionalFormatting sqref="E3:E44 G3:G44">
    <cfRule type="containsText" dxfId="1" priority="2" operator="containsText" text="Failed">
      <formula>NOT(ISERROR(SEARCH(("Failed"),(E3))))</formula>
    </cfRule>
  </conditionalFormatting>
  <conditionalFormatting sqref="E3:E44 G3:G44">
    <cfRule type="containsText" dxfId="0" priority="3" operator="containsText" text="Passed">
      <formula>NOT(ISERROR(SEARCH(("Passed"),(E3))))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